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eda\Desktop\python automatisation\TestResponsables\Jean_Dupont\"/>
    </mc:Choice>
  </mc:AlternateContent>
  <xr:revisionPtr revIDLastSave="0" documentId="13_ncr:1_{B54DE687-F3CC-4760-9934-662AE8E7683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ranche" sheetId="1" r:id="rId1"/>
    <sheet name="Cout Service" sheetId="2" r:id="rId2"/>
    <sheet name="Recapitulatif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C8" i="1"/>
</calcChain>
</file>

<file path=xl/sharedStrings.xml><?xml version="1.0" encoding="utf-8"?>
<sst xmlns="http://schemas.openxmlformats.org/spreadsheetml/2006/main" count="49" uniqueCount="43">
  <si>
    <t>Budget Previsionnel 2026 - Site Lyon</t>
  </si>
  <si>
    <t>Code</t>
  </si>
  <si>
    <t>Libelle</t>
  </si>
  <si>
    <t>Budget N-1</t>
  </si>
  <si>
    <t>Realise N-1</t>
  </si>
  <si>
    <t>Budget N</t>
  </si>
  <si>
    <t>Ecart</t>
  </si>
  <si>
    <t>BR001</t>
  </si>
  <si>
    <t>Personnel</t>
  </si>
  <si>
    <t>BR002</t>
  </si>
  <si>
    <t>Fournitures</t>
  </si>
  <si>
    <t>BR003</t>
  </si>
  <si>
    <t>Services</t>
  </si>
  <si>
    <t>BR004</t>
  </si>
  <si>
    <t>Maintenance</t>
  </si>
  <si>
    <t>BR005</t>
  </si>
  <si>
    <t>Formation</t>
  </si>
  <si>
    <t>Couts de Service - Site Lyon</t>
  </si>
  <si>
    <t>Code CS</t>
  </si>
  <si>
    <t>Description</t>
  </si>
  <si>
    <t>Montant</t>
  </si>
  <si>
    <t>Responsable</t>
  </si>
  <si>
    <t>Statut</t>
  </si>
  <si>
    <t>CS001</t>
  </si>
  <si>
    <t>Electricite</t>
  </si>
  <si>
    <t>Jean Dupont</t>
  </si>
  <si>
    <t>Valide</t>
  </si>
  <si>
    <t>CS002</t>
  </si>
  <si>
    <t>Eau</t>
  </si>
  <si>
    <t>CS003</t>
  </si>
  <si>
    <t>Internet</t>
  </si>
  <si>
    <t>En cours</t>
  </si>
  <si>
    <t>CS004</t>
  </si>
  <si>
    <t>Telephone</t>
  </si>
  <si>
    <t>Recapitulatif General</t>
  </si>
  <si>
    <t>Site:</t>
  </si>
  <si>
    <t>Site Lyon</t>
  </si>
  <si>
    <t>Responsable:</t>
  </si>
  <si>
    <t>Annee:</t>
  </si>
  <si>
    <t>Totaux par categorie</t>
  </si>
  <si>
    <t>Total Branche</t>
  </si>
  <si>
    <t>Total Cout Service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</si>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</sst>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FFFFFF"/>
      <name val="Calibri"/>
    </font>
    <font>
      <b/>
      <sz val="16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284C7"/>
        <bgColor rgb="FF0284C7"/>
      </patternFill>
    </fill>
    <fill>
      <patternFill patternType="solid">
        <fgColor rgb="FF059669"/>
        <bgColor rgb="FF059669"/>
      </patternFill>
    </fill>
    <fill>
      <patternFill patternType="solid">
        <fgColor rgb="FFF59E0B"/>
        <bgColor rgb="FFF59E0B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0" fontId="2" fillId="3" borderId="1" xfId="0" applyFont="1" applyFill="1" applyBorder="1"/>
    <xf numFmtId="0" fontId="4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3" fillId="0" borderId="0" xfId="0" applyFont="1" applyAlignment="1">
      <alignment horizontal="center"/>
    </xf>
    <xf numFmtId="0" fontId="2" fillId="4" borderId="0" xfId="0" applyFont="1" applyFill="1"/>
    <xf numFmtId="1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I6" sqref="I6"/>
    </sheetView>
  </sheetViews>
  <sheetFormatPr defaultRowHeight="14.4" x14ac:dyDescent="0.3"/>
  <cols>
    <col min="1" max="1" width="10" customWidth="1"/>
    <col min="2" max="2" width="20" customWidth="1"/>
    <col min="3" max="6" width="15" customWidth="1"/>
  </cols>
  <sheetData>
    <row r="1" spans="1:6" ht="18" x14ac:dyDescent="0.35">
      <c r="A1" s="5" t="s">
        <v>0</v>
      </c>
      <c r="B1" s="6"/>
      <c r="C1" s="6"/>
      <c r="D1" s="6"/>
      <c r="E1" s="6"/>
      <c r="F1" s="6"/>
    </row>
    <row r="3" spans="1:6" ht="15.6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x14ac:dyDescent="0.3">
      <c r="A4" s="2" t="s">
        <v>7</v>
      </c>
      <c r="B4" s="2" t="s">
        <v>8</v>
      </c>
      <c r="C4" s="2">
        <v>150000</v>
      </c>
      <c r="D4" s="2">
        <v>145000</v>
      </c>
      <c r="E4" s="2">
        <v>160000</v>
      </c>
      <c r="F4" s="2">
        <v>10000</v>
      </c>
    </row>
    <row r="5" spans="1:6" x14ac:dyDescent="0.3">
      <c r="A5" s="2" t="s">
        <v>9</v>
      </c>
      <c r="B5" s="2" t="s">
        <v>10</v>
      </c>
      <c r="C5" s="2">
        <v>25000</v>
      </c>
      <c r="D5" s="2">
        <v>24500</v>
      </c>
      <c r="E5" s="2">
        <v>27000</v>
      </c>
      <c r="F5" s="2">
        <v>2000</v>
      </c>
    </row>
    <row r="6" spans="1:6" x14ac:dyDescent="0.3">
      <c r="A6" s="2" t="s">
        <v>11</v>
      </c>
      <c r="B6" s="2" t="s">
        <v>12</v>
      </c>
      <c r="C6" s="2">
        <v>45000</v>
      </c>
      <c r="D6" s="2">
        <v>43000</v>
      </c>
      <c r="E6" s="2">
        <v>48000</v>
      </c>
      <c r="F6" s="2">
        <v>3000</v>
      </c>
    </row>
    <row r="7" spans="1:6" x14ac:dyDescent="0.3">
      <c r="A7" s="2" t="s">
        <v>13</v>
      </c>
      <c r="B7" s="2" t="s">
        <v>14</v>
      </c>
      <c r="C7" s="2">
        <v>18000</v>
      </c>
      <c r="D7" s="2">
        <v>17500</v>
      </c>
      <c r="E7" s="2">
        <v>19500</v>
      </c>
      <c r="F7" s="2">
        <v>1500</v>
      </c>
    </row>
    <row r="8" spans="1:6" x14ac:dyDescent="0.3">
      <c r="A8" s="2" t="s">
        <v>15</v>
      </c>
      <c r="B8" s="2" t="s">
        <v>16</v>
      </c>
      <c r="C8" s="9">
        <f>C4/C7</f>
        <v>8.3333333333333339</v>
      </c>
      <c r="D8" s="9">
        <f t="shared" ref="D8:F8" si="0">D4/D7</f>
        <v>8.2857142857142865</v>
      </c>
      <c r="E8" s="9">
        <f t="shared" si="0"/>
        <v>8.2051282051282044</v>
      </c>
      <c r="F8" s="9">
        <f t="shared" si="0"/>
        <v>6.666666666666667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/>
  </sheetViews>
  <sheetFormatPr defaultRowHeight="14.4" x14ac:dyDescent="0.3"/>
  <cols>
    <col min="1" max="5" width="18" customWidth="1"/>
  </cols>
  <sheetData>
    <row r="1" spans="1:5" ht="18" x14ac:dyDescent="0.35">
      <c r="A1" s="5" t="s">
        <v>17</v>
      </c>
      <c r="B1" s="6"/>
      <c r="C1" s="6"/>
      <c r="D1" s="6"/>
      <c r="E1" s="6"/>
    </row>
    <row r="3" spans="1:5" ht="15.6" x14ac:dyDescent="0.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</row>
    <row r="4" spans="1:5" x14ac:dyDescent="0.3">
      <c r="A4" s="2" t="s">
        <v>23</v>
      </c>
      <c r="B4" s="2" t="s">
        <v>24</v>
      </c>
      <c r="C4" s="2">
        <v>8500</v>
      </c>
      <c r="D4" s="2" t="s">
        <v>25</v>
      </c>
      <c r="E4" s="2" t="s">
        <v>26</v>
      </c>
    </row>
    <row r="5" spans="1:5" x14ac:dyDescent="0.3">
      <c r="A5" s="2" t="s">
        <v>27</v>
      </c>
      <c r="B5" s="2" t="s">
        <v>28</v>
      </c>
      <c r="C5" s="2">
        <v>2300</v>
      </c>
      <c r="D5" s="2" t="s">
        <v>25</v>
      </c>
      <c r="E5" s="2" t="s">
        <v>26</v>
      </c>
    </row>
    <row r="6" spans="1:5" x14ac:dyDescent="0.3">
      <c r="A6" s="2" t="s">
        <v>29</v>
      </c>
      <c r="B6" s="2" t="s">
        <v>30</v>
      </c>
      <c r="C6" s="2">
        <v>1200</v>
      </c>
      <c r="D6" s="2" t="s">
        <v>25</v>
      </c>
      <c r="E6" s="2" t="s">
        <v>31</v>
      </c>
    </row>
    <row r="7" spans="1:5" x14ac:dyDescent="0.3">
      <c r="A7" s="2" t="s">
        <v>32</v>
      </c>
      <c r="B7" s="2" t="s">
        <v>33</v>
      </c>
      <c r="C7" s="2">
        <v>850</v>
      </c>
      <c r="D7" s="2" t="s">
        <v>25</v>
      </c>
      <c r="E7" s="2" t="s">
        <v>26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/>
  </sheetViews>
  <sheetFormatPr defaultRowHeight="14.4" x14ac:dyDescent="0.3"/>
  <cols>
    <col min="1" max="4" width="20" customWidth="1"/>
  </cols>
  <sheetData>
    <row r="1" spans="1:4" ht="21" x14ac:dyDescent="0.4">
      <c r="A1" s="7" t="s">
        <v>34</v>
      </c>
      <c r="B1" s="6"/>
      <c r="C1" s="6"/>
      <c r="D1" s="6"/>
    </row>
    <row r="3" spans="1:4" x14ac:dyDescent="0.3">
      <c r="A3" t="s">
        <v>35</v>
      </c>
      <c r="B3" t="s">
        <v>36</v>
      </c>
    </row>
    <row r="4" spans="1:4" x14ac:dyDescent="0.3">
      <c r="A4" t="s">
        <v>37</v>
      </c>
      <c r="B4" t="s">
        <v>25</v>
      </c>
    </row>
    <row r="5" spans="1:4" x14ac:dyDescent="0.3">
      <c r="A5" t="s">
        <v>38</v>
      </c>
      <c r="B5">
        <v>2026</v>
      </c>
    </row>
    <row r="7" spans="1:4" ht="15.6" x14ac:dyDescent="0.3">
      <c r="A7" s="8" t="s">
        <v>39</v>
      </c>
      <c r="B7" s="6"/>
      <c r="C7" s="6"/>
      <c r="D7" s="6"/>
    </row>
    <row r="8" spans="1:4" x14ac:dyDescent="0.3">
      <c r="A8" t="s">
        <v>40</v>
      </c>
      <c r="B8">
        <v>268500</v>
      </c>
    </row>
    <row r="9" spans="1:4" x14ac:dyDescent="0.3">
      <c r="A9" t="s">
        <v>41</v>
      </c>
      <c r="B9">
        <v>12850</v>
      </c>
    </row>
    <row r="10" spans="1:4" x14ac:dyDescent="0.3">
      <c r="A10" t="s">
        <v>42</v>
      </c>
      <c r="B10" s="4">
        <v>281350</v>
      </c>
    </row>
  </sheetData>
  <mergeCells count="2">
    <mergeCell ref="A1:D1"/>
    <mergeCell ref="A7:D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Branche</vt:lpstr>
      <vt:lpstr>Cout Service</vt:lpstr>
      <vt:lpstr>Recapitulatif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Reda Sedrati</cp:lastModifiedBy>
  <dcterms:created xsi:type="dcterms:W3CDTF">2026-01-13T04:46:56Z</dcterms:created>
  <dcterms:modified xsi:type="dcterms:W3CDTF">2026-01-15T04:19:55Z</dcterms:modified>
</cp:coreProperties>
</file>